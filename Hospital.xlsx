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ieu_PE1\Design house\"/>
    </mc:Choice>
  </mc:AlternateContent>
  <xr:revisionPtr revIDLastSave="0" documentId="13_ncr:1_{2910494E-F73A-4220-B953-63B700E5242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bonus" sheetId="1" r:id="rId1"/>
    <sheet name="chi phí" sheetId="2" r:id="rId2"/>
    <sheet name="Sheet2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7" i="3"/>
  <c r="J9" i="3"/>
  <c r="A9" i="3"/>
  <c r="C42" i="2"/>
</calcChain>
</file>

<file path=xl/sharedStrings.xml><?xml version="1.0" encoding="utf-8"?>
<sst xmlns="http://schemas.openxmlformats.org/spreadsheetml/2006/main" count="104" uniqueCount="90">
  <si>
    <t>Tú thơ</t>
  </si>
  <si>
    <t>C Bình Dương</t>
  </si>
  <si>
    <t>E Tuấn</t>
  </si>
  <si>
    <t>đồ chơi</t>
  </si>
  <si>
    <t>Ông bà Thắng Nga</t>
  </si>
  <si>
    <t>Bác Hà Đạt</t>
  </si>
  <si>
    <t>Bác Duyên Tình</t>
  </si>
  <si>
    <t xml:space="preserve">Ông bà Ngoại </t>
  </si>
  <si>
    <t>A Sơn Vân</t>
  </si>
  <si>
    <t xml:space="preserve">A Dương </t>
  </si>
  <si>
    <t>Ô Kết</t>
  </si>
  <si>
    <t>Cụ Bà</t>
  </si>
  <si>
    <t>Cụ Ông</t>
  </si>
  <si>
    <t>Bà Toan</t>
  </si>
  <si>
    <t>C Tâm Trường</t>
  </si>
  <si>
    <t xml:space="preserve">A Bản Thơm </t>
  </si>
  <si>
    <t>Tôn Phương</t>
  </si>
  <si>
    <t xml:space="preserve">Bà Tuyết </t>
  </si>
  <si>
    <t xml:space="preserve">Bác Hiệp </t>
  </si>
  <si>
    <t>A Lai Hương</t>
  </si>
  <si>
    <t>PE1</t>
  </si>
  <si>
    <t>Xe chuyển viện</t>
  </si>
  <si>
    <t>dụng cụ sinh hoạt</t>
  </si>
  <si>
    <t xml:space="preserve">mượn đồ </t>
  </si>
  <si>
    <t xml:space="preserve">taxi </t>
  </si>
  <si>
    <t>mổ</t>
  </si>
  <si>
    <t>ra viện</t>
  </si>
  <si>
    <t xml:space="preserve">xét nghiệm </t>
  </si>
  <si>
    <t>2/7</t>
  </si>
  <si>
    <t>3/7</t>
  </si>
  <si>
    <t xml:space="preserve">cơm </t>
  </si>
  <si>
    <t>sữa</t>
  </si>
  <si>
    <t>4/7</t>
  </si>
  <si>
    <t>thay băng</t>
  </si>
  <si>
    <t>5/7</t>
  </si>
  <si>
    <t>6/7</t>
  </si>
  <si>
    <t>thuốc bổ</t>
  </si>
  <si>
    <t>7/7</t>
  </si>
  <si>
    <t>thụt</t>
  </si>
  <si>
    <t>8/7</t>
  </si>
  <si>
    <t>dưa</t>
  </si>
  <si>
    <t>dao</t>
  </si>
  <si>
    <t>giấy</t>
  </si>
  <si>
    <t>9/7</t>
  </si>
  <si>
    <t>10/7</t>
  </si>
  <si>
    <t>băng</t>
  </si>
  <si>
    <t>chi phí ra viện</t>
  </si>
  <si>
    <t>vé xe</t>
  </si>
  <si>
    <t xml:space="preserve">Phương nghênh </t>
  </si>
  <si>
    <t xml:space="preserve">A giang </t>
  </si>
  <si>
    <t>bà mão</t>
  </si>
  <si>
    <t>bà hạnh</t>
  </si>
  <si>
    <t>bác lam anh</t>
  </si>
  <si>
    <t>ông tiến hoa</t>
  </si>
  <si>
    <t>bà vẻ</t>
  </si>
  <si>
    <t>bà lan</t>
  </si>
  <si>
    <t>bác luân</t>
  </si>
  <si>
    <t>ông thời</t>
  </si>
  <si>
    <t>trường thuận</t>
  </si>
  <si>
    <t>nghinh hưng</t>
  </si>
  <si>
    <t>bác kì</t>
  </si>
  <si>
    <t>c huyền</t>
  </si>
  <si>
    <t xml:space="preserve">bà canh </t>
  </si>
  <si>
    <t>bà thùy</t>
  </si>
  <si>
    <t>hường khiết</t>
  </si>
  <si>
    <t>5 dây sữa</t>
  </si>
  <si>
    <t xml:space="preserve">bà nụ </t>
  </si>
  <si>
    <t>Gấu đi viện</t>
  </si>
  <si>
    <t>bà dung giỏ</t>
  </si>
  <si>
    <t>bà nụ</t>
  </si>
  <si>
    <t>bác duyên tình</t>
  </si>
  <si>
    <t>cô loan</t>
  </si>
  <si>
    <t>bà canh</t>
  </si>
  <si>
    <t>c bích</t>
  </si>
  <si>
    <t>c dương linh</t>
  </si>
  <si>
    <t>cô lương</t>
  </si>
  <si>
    <t>e tuyến</t>
  </si>
  <si>
    <t>cô nga</t>
  </si>
  <si>
    <t>e thủy</t>
  </si>
  <si>
    <t>thím điệp</t>
  </si>
  <si>
    <t xml:space="preserve">e hoài </t>
  </si>
  <si>
    <t>bà tuyết</t>
  </si>
  <si>
    <t>tú thơ</t>
  </si>
  <si>
    <t>duyên giang</t>
  </si>
  <si>
    <t>c tâm</t>
  </si>
  <si>
    <t>bà toan</t>
  </si>
  <si>
    <t>c nga</t>
  </si>
  <si>
    <t>c anh</t>
  </si>
  <si>
    <t>c nghinh</t>
  </si>
  <si>
    <t>Sóc đẻ 07-09-2026 (26-07-2026 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</si>
</sst>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1"/>
  <sheetViews>
    <sheetView tabSelected="1" zoomScale="85" zoomScaleNormal="85" workbookViewId="0">
      <selection activeCell="K8" sqref="K8"/>
    </sheetView>
  </sheetViews>
  <sheetFormatPr defaultRowHeight="15" x14ac:dyDescent="0.25"/>
  <cols>
    <col min="2" max="2" width="20.85546875" customWidth="1"/>
    <col min="3" max="3" width="11.85546875" style="5" customWidth="1"/>
    <col min="4" max="4" width="11" customWidth="1"/>
    <col min="7" max="7" width="17.5703125" customWidth="1"/>
    <col min="8" max="8" width="15.42578125" customWidth="1"/>
  </cols>
  <sheetData>
    <row r="1" spans="2:8" x14ac:dyDescent="0.25">
      <c r="B1" s="7" t="s">
        <v>67</v>
      </c>
      <c r="G1" s="7" t="s">
        <v>89</v>
      </c>
    </row>
    <row r="2" spans="2:8" x14ac:dyDescent="0.25">
      <c r="B2" s="3" t="s">
        <v>0</v>
      </c>
      <c r="C2" s="4">
        <v>200</v>
      </c>
      <c r="D2" s="3"/>
      <c r="G2" s="3" t="s">
        <v>68</v>
      </c>
      <c r="H2" s="3">
        <v>200</v>
      </c>
    </row>
    <row r="3" spans="2:8" x14ac:dyDescent="0.25">
      <c r="B3" s="3" t="s">
        <v>1</v>
      </c>
      <c r="C3" s="4">
        <v>500</v>
      </c>
      <c r="D3" s="3"/>
      <c r="G3" s="3" t="s">
        <v>69</v>
      </c>
      <c r="H3" s="3">
        <v>250</v>
      </c>
    </row>
    <row r="4" spans="2:8" x14ac:dyDescent="0.25">
      <c r="B4" s="3" t="s">
        <v>2</v>
      </c>
      <c r="C4" s="4">
        <v>200</v>
      </c>
      <c r="D4" s="3" t="s">
        <v>3</v>
      </c>
      <c r="G4" s="3" t="s">
        <v>70</v>
      </c>
      <c r="H4" s="3">
        <v>500</v>
      </c>
    </row>
    <row r="5" spans="2:8" x14ac:dyDescent="0.25">
      <c r="B5" s="3" t="s">
        <v>4</v>
      </c>
      <c r="C5" s="4">
        <v>300</v>
      </c>
      <c r="D5" s="3"/>
      <c r="G5" s="3" t="s">
        <v>71</v>
      </c>
      <c r="H5" s="3">
        <v>300</v>
      </c>
    </row>
    <row r="6" spans="2:8" x14ac:dyDescent="0.25">
      <c r="B6" s="3" t="s">
        <v>6</v>
      </c>
      <c r="C6" s="4">
        <v>500</v>
      </c>
      <c r="D6" s="3"/>
      <c r="G6" s="3" t="s">
        <v>72</v>
      </c>
      <c r="H6" s="3">
        <v>200</v>
      </c>
    </row>
    <row r="7" spans="2:8" x14ac:dyDescent="0.25">
      <c r="B7" s="3" t="s">
        <v>5</v>
      </c>
      <c r="C7" s="4">
        <v>500</v>
      </c>
      <c r="D7" s="3"/>
      <c r="G7" s="3" t="s">
        <v>63</v>
      </c>
      <c r="H7" s="3">
        <v>200</v>
      </c>
    </row>
    <row r="8" spans="2:8" x14ac:dyDescent="0.25">
      <c r="B8" s="3" t="s">
        <v>7</v>
      </c>
      <c r="C8" s="4">
        <v>2000</v>
      </c>
      <c r="D8" s="3"/>
      <c r="G8" s="3" t="s">
        <v>61</v>
      </c>
      <c r="H8" s="3">
        <v>200</v>
      </c>
    </row>
    <row r="9" spans="2:8" x14ac:dyDescent="0.25">
      <c r="B9" s="3" t="s">
        <v>8</v>
      </c>
      <c r="C9" s="4">
        <v>200</v>
      </c>
      <c r="D9" s="3"/>
      <c r="G9" s="3" t="s">
        <v>73</v>
      </c>
      <c r="H9" s="3">
        <v>200</v>
      </c>
    </row>
    <row r="10" spans="2:8" x14ac:dyDescent="0.25">
      <c r="B10" s="3" t="s">
        <v>9</v>
      </c>
      <c r="C10" s="4">
        <v>200</v>
      </c>
      <c r="D10" s="3"/>
      <c r="G10" s="3" t="s">
        <v>74</v>
      </c>
      <c r="H10" s="3">
        <v>200</v>
      </c>
    </row>
    <row r="11" spans="2:8" x14ac:dyDescent="0.25">
      <c r="B11" s="3" t="s">
        <v>10</v>
      </c>
      <c r="C11" s="4">
        <v>200</v>
      </c>
      <c r="D11" s="3"/>
      <c r="G11" s="3" t="s">
        <v>75</v>
      </c>
      <c r="H11" s="3">
        <v>200</v>
      </c>
    </row>
    <row r="12" spans="2:8" x14ac:dyDescent="0.25">
      <c r="B12" s="3" t="s">
        <v>11</v>
      </c>
      <c r="C12" s="4">
        <v>500</v>
      </c>
      <c r="D12" s="3"/>
      <c r="G12" s="3" t="s">
        <v>76</v>
      </c>
      <c r="H12" s="3">
        <v>200</v>
      </c>
    </row>
    <row r="13" spans="2:8" x14ac:dyDescent="0.25">
      <c r="B13" s="3" t="s">
        <v>12</v>
      </c>
      <c r="C13" s="4">
        <v>200</v>
      </c>
      <c r="D13" s="3"/>
      <c r="G13" s="3" t="s">
        <v>77</v>
      </c>
      <c r="H13" s="3">
        <v>200</v>
      </c>
    </row>
    <row r="14" spans="2:8" x14ac:dyDescent="0.25">
      <c r="B14" s="3" t="s">
        <v>13</v>
      </c>
      <c r="C14" s="4">
        <v>100</v>
      </c>
      <c r="D14" s="3"/>
      <c r="G14" s="3" t="s">
        <v>78</v>
      </c>
      <c r="H14" s="3">
        <v>200</v>
      </c>
    </row>
    <row r="15" spans="2:8" x14ac:dyDescent="0.25">
      <c r="B15" s="3" t="s">
        <v>14</v>
      </c>
      <c r="C15" s="4">
        <v>200</v>
      </c>
      <c r="D15" s="3"/>
      <c r="G15" s="3" t="s">
        <v>79</v>
      </c>
      <c r="H15" s="3">
        <v>200</v>
      </c>
    </row>
    <row r="16" spans="2:8" x14ac:dyDescent="0.25">
      <c r="B16" s="3" t="s">
        <v>15</v>
      </c>
      <c r="C16" s="4">
        <v>100</v>
      </c>
      <c r="D16" s="3"/>
      <c r="G16" s="3" t="s">
        <v>80</v>
      </c>
      <c r="H16" s="3">
        <v>200</v>
      </c>
    </row>
    <row r="17" spans="2:8" x14ac:dyDescent="0.25">
      <c r="B17" s="3" t="s">
        <v>16</v>
      </c>
      <c r="C17" s="4">
        <v>200</v>
      </c>
      <c r="D17" s="3"/>
      <c r="G17" s="3" t="s">
        <v>81</v>
      </c>
      <c r="H17" s="3">
        <v>200</v>
      </c>
    </row>
    <row r="18" spans="2:8" x14ac:dyDescent="0.25">
      <c r="B18" s="3" t="s">
        <v>17</v>
      </c>
      <c r="C18" s="4">
        <v>200</v>
      </c>
      <c r="D18" s="3"/>
      <c r="G18" s="3" t="s">
        <v>82</v>
      </c>
      <c r="H18" s="3">
        <v>200</v>
      </c>
    </row>
    <row r="19" spans="2:8" x14ac:dyDescent="0.25">
      <c r="B19" s="3" t="s">
        <v>18</v>
      </c>
      <c r="C19" s="4">
        <v>200</v>
      </c>
      <c r="D19" s="3"/>
      <c r="G19" s="3" t="s">
        <v>83</v>
      </c>
      <c r="H19" s="3">
        <v>200</v>
      </c>
    </row>
    <row r="20" spans="2:8" x14ac:dyDescent="0.25">
      <c r="B20" s="3" t="s">
        <v>19</v>
      </c>
      <c r="C20" s="4">
        <v>200</v>
      </c>
      <c r="D20" s="3"/>
      <c r="G20" s="3" t="s">
        <v>51</v>
      </c>
      <c r="H20" s="3">
        <v>200</v>
      </c>
    </row>
    <row r="21" spans="2:8" x14ac:dyDescent="0.25">
      <c r="B21" s="3" t="s">
        <v>20</v>
      </c>
      <c r="C21" s="4">
        <v>1000</v>
      </c>
      <c r="D21" s="3"/>
      <c r="G21" s="3" t="s">
        <v>55</v>
      </c>
      <c r="H21" s="3">
        <v>200</v>
      </c>
    </row>
    <row r="22" spans="2:8" x14ac:dyDescent="0.25">
      <c r="B22" s="3" t="s">
        <v>48</v>
      </c>
      <c r="C22" s="4">
        <v>500</v>
      </c>
      <c r="D22" s="3"/>
      <c r="G22" s="3" t="s">
        <v>84</v>
      </c>
      <c r="H22" s="3">
        <v>200</v>
      </c>
    </row>
    <row r="23" spans="2:8" x14ac:dyDescent="0.25">
      <c r="B23" s="3" t="s">
        <v>49</v>
      </c>
      <c r="C23" s="4">
        <v>200</v>
      </c>
      <c r="D23" s="3"/>
      <c r="G23" s="3" t="s">
        <v>85</v>
      </c>
      <c r="H23" s="3">
        <v>100</v>
      </c>
    </row>
    <row r="24" spans="2:8" x14ac:dyDescent="0.25">
      <c r="B24" s="3" t="s">
        <v>50</v>
      </c>
      <c r="C24" s="4">
        <v>200</v>
      </c>
      <c r="D24" s="3"/>
      <c r="G24" s="3" t="s">
        <v>86</v>
      </c>
      <c r="H24" s="3">
        <v>200</v>
      </c>
    </row>
    <row r="25" spans="2:8" x14ac:dyDescent="0.25">
      <c r="B25" s="3" t="s">
        <v>51</v>
      </c>
      <c r="C25" s="4">
        <v>200</v>
      </c>
      <c r="D25" s="3"/>
      <c r="G25" s="3" t="s">
        <v>87</v>
      </c>
      <c r="H25" s="3">
        <v>200</v>
      </c>
    </row>
    <row r="26" spans="2:8" x14ac:dyDescent="0.25">
      <c r="B26" s="3" t="s">
        <v>52</v>
      </c>
      <c r="C26" s="4">
        <v>200</v>
      </c>
      <c r="D26" s="3"/>
      <c r="G26" s="3" t="s">
        <v>88</v>
      </c>
      <c r="H26" s="3">
        <v>200</v>
      </c>
    </row>
    <row r="27" spans="2:8" x14ac:dyDescent="0.25">
      <c r="B27" s="3" t="s">
        <v>53</v>
      </c>
      <c r="C27" s="4">
        <v>100</v>
      </c>
      <c r="D27" s="3"/>
      <c r="G27" s="3" t="s">
        <v>50</v>
      </c>
      <c r="H27" s="3">
        <v>200</v>
      </c>
    </row>
    <row r="28" spans="2:8" x14ac:dyDescent="0.25">
      <c r="B28" s="3" t="s">
        <v>54</v>
      </c>
      <c r="C28" s="4">
        <v>200</v>
      </c>
      <c r="D28" s="3"/>
      <c r="G28" s="3"/>
      <c r="H28" s="3"/>
    </row>
    <row r="29" spans="2:8" x14ac:dyDescent="0.25">
      <c r="B29" s="3" t="s">
        <v>55</v>
      </c>
      <c r="C29" s="4">
        <v>200</v>
      </c>
      <c r="D29" s="3"/>
      <c r="G29" s="3"/>
      <c r="H29" s="3"/>
    </row>
    <row r="30" spans="2:8" x14ac:dyDescent="0.25">
      <c r="B30" s="3" t="s">
        <v>56</v>
      </c>
      <c r="C30" s="4">
        <v>200</v>
      </c>
      <c r="D30" s="3"/>
      <c r="G30" s="3"/>
      <c r="H30" s="3"/>
    </row>
    <row r="31" spans="2:8" x14ac:dyDescent="0.25">
      <c r="B31" s="3" t="s">
        <v>57</v>
      </c>
      <c r="C31" s="4">
        <v>200</v>
      </c>
      <c r="D31" s="3"/>
      <c r="G31" s="3"/>
      <c r="H31" s="3"/>
    </row>
    <row r="32" spans="2:8" x14ac:dyDescent="0.25">
      <c r="B32" s="3" t="s">
        <v>58</v>
      </c>
      <c r="C32" s="4">
        <v>200</v>
      </c>
      <c r="D32" s="3"/>
      <c r="G32" s="3"/>
      <c r="H32" s="3"/>
    </row>
    <row r="33" spans="2:4" x14ac:dyDescent="0.25">
      <c r="B33" s="3" t="s">
        <v>59</v>
      </c>
      <c r="C33" s="4">
        <v>200</v>
      </c>
      <c r="D33" s="3"/>
    </row>
    <row r="34" spans="2:4" x14ac:dyDescent="0.25">
      <c r="B34" s="3" t="s">
        <v>60</v>
      </c>
      <c r="C34" s="4">
        <v>200</v>
      </c>
      <c r="D34" s="3"/>
    </row>
    <row r="35" spans="2:4" x14ac:dyDescent="0.25">
      <c r="B35" s="3" t="s">
        <v>61</v>
      </c>
      <c r="C35" s="4">
        <v>200</v>
      </c>
      <c r="D35" s="3"/>
    </row>
    <row r="36" spans="2:4" x14ac:dyDescent="0.25">
      <c r="B36" s="3" t="s">
        <v>62</v>
      </c>
      <c r="C36" s="4">
        <v>300</v>
      </c>
      <c r="D36" s="3"/>
    </row>
    <row r="37" spans="2:4" x14ac:dyDescent="0.25">
      <c r="B37" s="3" t="s">
        <v>63</v>
      </c>
      <c r="C37" s="4">
        <v>300</v>
      </c>
      <c r="D37" s="3"/>
    </row>
    <row r="38" spans="2:4" x14ac:dyDescent="0.25">
      <c r="B38" s="3" t="s">
        <v>66</v>
      </c>
      <c r="C38" s="4">
        <v>250</v>
      </c>
      <c r="D38" s="3"/>
    </row>
    <row r="39" spans="2:4" x14ac:dyDescent="0.25">
      <c r="B39" s="3" t="s">
        <v>64</v>
      </c>
      <c r="C39" s="4" t="s">
        <v>65</v>
      </c>
      <c r="D39" s="3"/>
    </row>
    <row r="41" spans="2:4" x14ac:dyDescent="0.25">
      <c r="C41" s="6">
        <f>SUM(C2:C38)</f>
        <v>11550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E25E-6F47-45D4-8422-83386CD29CD6}">
  <dimension ref="A1:E42"/>
  <sheetViews>
    <sheetView zoomScale="85" zoomScaleNormal="85" workbookViewId="0">
      <selection activeCell="D22" sqref="D22"/>
    </sheetView>
  </sheetViews>
  <sheetFormatPr defaultRowHeight="15" x14ac:dyDescent="0.25"/>
  <sheetData>
    <row r="1" spans="1:5" x14ac:dyDescent="0.25">
      <c r="A1" s="2" t="s">
        <v>28</v>
      </c>
      <c r="B1" t="s">
        <v>21</v>
      </c>
      <c r="C1">
        <v>400</v>
      </c>
      <c r="E1" s="1"/>
    </row>
    <row r="2" spans="1:5" x14ac:dyDescent="0.25">
      <c r="B2" t="s">
        <v>22</v>
      </c>
      <c r="C2">
        <v>200</v>
      </c>
    </row>
    <row r="3" spans="1:5" x14ac:dyDescent="0.25">
      <c r="B3" t="s">
        <v>23</v>
      </c>
      <c r="C3">
        <v>50</v>
      </c>
    </row>
    <row r="4" spans="1:5" x14ac:dyDescent="0.25">
      <c r="B4" t="s">
        <v>24</v>
      </c>
      <c r="C4">
        <v>986</v>
      </c>
    </row>
    <row r="5" spans="1:5" x14ac:dyDescent="0.25">
      <c r="B5" t="s">
        <v>25</v>
      </c>
      <c r="C5">
        <v>4000</v>
      </c>
    </row>
    <row r="6" spans="1:5" x14ac:dyDescent="0.25">
      <c r="B6" t="s">
        <v>26</v>
      </c>
      <c r="C6">
        <v>313</v>
      </c>
    </row>
    <row r="7" spans="1:5" x14ac:dyDescent="0.25">
      <c r="B7" t="s">
        <v>27</v>
      </c>
      <c r="C7">
        <v>1000</v>
      </c>
    </row>
    <row r="8" spans="1:5" x14ac:dyDescent="0.25">
      <c r="A8" s="2" t="s">
        <v>29</v>
      </c>
    </row>
    <row r="9" spans="1:5" x14ac:dyDescent="0.25">
      <c r="B9" t="s">
        <v>30</v>
      </c>
      <c r="C9">
        <v>120</v>
      </c>
    </row>
    <row r="10" spans="1:5" x14ac:dyDescent="0.25">
      <c r="B10" t="s">
        <v>31</v>
      </c>
      <c r="C10">
        <v>240</v>
      </c>
    </row>
    <row r="11" spans="1:5" x14ac:dyDescent="0.25">
      <c r="A11" s="2" t="s">
        <v>32</v>
      </c>
    </row>
    <row r="12" spans="1:5" x14ac:dyDescent="0.25">
      <c r="B12" t="s">
        <v>30</v>
      </c>
      <c r="C12">
        <v>160</v>
      </c>
    </row>
    <row r="13" spans="1:5" x14ac:dyDescent="0.25">
      <c r="B13" t="s">
        <v>33</v>
      </c>
      <c r="C13">
        <v>40</v>
      </c>
    </row>
    <row r="14" spans="1:5" x14ac:dyDescent="0.25">
      <c r="A14" s="2" t="s">
        <v>34</v>
      </c>
    </row>
    <row r="15" spans="1:5" x14ac:dyDescent="0.25">
      <c r="B15" t="s">
        <v>30</v>
      </c>
      <c r="C15">
        <v>130</v>
      </c>
    </row>
    <row r="16" spans="1:5" x14ac:dyDescent="0.25">
      <c r="A16" s="2" t="s">
        <v>35</v>
      </c>
    </row>
    <row r="17" spans="1:3" x14ac:dyDescent="0.25">
      <c r="B17" t="s">
        <v>30</v>
      </c>
      <c r="C17">
        <v>90</v>
      </c>
    </row>
    <row r="18" spans="1:3" x14ac:dyDescent="0.25">
      <c r="B18" t="s">
        <v>33</v>
      </c>
      <c r="C18">
        <v>60</v>
      </c>
    </row>
    <row r="19" spans="1:3" x14ac:dyDescent="0.25">
      <c r="B19" t="s">
        <v>36</v>
      </c>
      <c r="C19">
        <v>320</v>
      </c>
    </row>
    <row r="20" spans="1:3" x14ac:dyDescent="0.25">
      <c r="A20" s="2" t="s">
        <v>37</v>
      </c>
    </row>
    <row r="21" spans="1:3" x14ac:dyDescent="0.25">
      <c r="B21" t="s">
        <v>33</v>
      </c>
      <c r="C21">
        <v>30</v>
      </c>
    </row>
    <row r="22" spans="1:3" x14ac:dyDescent="0.25">
      <c r="B22" t="s">
        <v>30</v>
      </c>
      <c r="C22">
        <v>150</v>
      </c>
    </row>
    <row r="23" spans="1:3" x14ac:dyDescent="0.25">
      <c r="B23" t="s">
        <v>38</v>
      </c>
      <c r="C23">
        <v>40</v>
      </c>
    </row>
    <row r="24" spans="1:3" x14ac:dyDescent="0.25">
      <c r="A24" s="2" t="s">
        <v>39</v>
      </c>
    </row>
    <row r="25" spans="1:3" x14ac:dyDescent="0.25">
      <c r="B25" t="s">
        <v>30</v>
      </c>
      <c r="C25">
        <v>140</v>
      </c>
    </row>
    <row r="26" spans="1:3" x14ac:dyDescent="0.25">
      <c r="B26" t="s">
        <v>40</v>
      </c>
      <c r="C26">
        <v>60</v>
      </c>
    </row>
    <row r="27" spans="1:3" x14ac:dyDescent="0.25">
      <c r="B27" t="s">
        <v>41</v>
      </c>
      <c r="C27">
        <v>15</v>
      </c>
    </row>
    <row r="28" spans="1:3" x14ac:dyDescent="0.25">
      <c r="B28" t="s">
        <v>42</v>
      </c>
      <c r="C28">
        <v>20</v>
      </c>
    </row>
    <row r="29" spans="1:3" x14ac:dyDescent="0.25">
      <c r="A29" s="2" t="s">
        <v>43</v>
      </c>
    </row>
    <row r="30" spans="1:3" x14ac:dyDescent="0.25">
      <c r="B30" t="s">
        <v>30</v>
      </c>
      <c r="C30">
        <v>120</v>
      </c>
    </row>
    <row r="31" spans="1:3" x14ac:dyDescent="0.25">
      <c r="B31" t="s">
        <v>33</v>
      </c>
      <c r="C31">
        <v>40</v>
      </c>
    </row>
    <row r="32" spans="1:3" x14ac:dyDescent="0.25">
      <c r="A32" s="2" t="s">
        <v>44</v>
      </c>
    </row>
    <row r="33" spans="2:3" x14ac:dyDescent="0.25">
      <c r="B33" t="s">
        <v>45</v>
      </c>
      <c r="C33">
        <v>290</v>
      </c>
    </row>
    <row r="34" spans="2:3" x14ac:dyDescent="0.25">
      <c r="B34" t="s">
        <v>46</v>
      </c>
      <c r="C34">
        <v>175</v>
      </c>
    </row>
    <row r="35" spans="2:3" x14ac:dyDescent="0.25">
      <c r="B35" t="s">
        <v>47</v>
      </c>
      <c r="C35">
        <v>25</v>
      </c>
    </row>
    <row r="42" spans="2:3" x14ac:dyDescent="0.25">
      <c r="C42">
        <f>SUM(C1:C38)</f>
        <v>9214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EFD3-2BBA-4FBC-B641-6482670F4792}">
  <dimension ref="A1:J9"/>
  <sheetViews>
    <sheetView zoomScale="85" zoomScaleNormal="85" workbookViewId="0">
      <selection activeCell="J9" sqref="J9"/>
    </sheetView>
  </sheetViews>
  <sheetFormatPr defaultRowHeight="15" x14ac:dyDescent="0.25"/>
  <sheetData>
    <row r="1" spans="1:10" x14ac:dyDescent="0.25">
      <c r="A1">
        <v>5000</v>
      </c>
      <c r="C1">
        <v>23154</v>
      </c>
    </row>
    <row r="2" spans="1:10" x14ac:dyDescent="0.25">
      <c r="A2">
        <v>290</v>
      </c>
    </row>
    <row r="3" spans="1:10" x14ac:dyDescent="0.25">
      <c r="A3">
        <v>2000</v>
      </c>
    </row>
    <row r="4" spans="1:10" x14ac:dyDescent="0.25">
      <c r="A4">
        <v>700</v>
      </c>
      <c r="C4">
        <v>14117</v>
      </c>
    </row>
    <row r="5" spans="1:10" x14ac:dyDescent="0.25">
      <c r="A5">
        <v>176</v>
      </c>
    </row>
    <row r="6" spans="1:10" x14ac:dyDescent="0.25">
      <c r="A6">
        <v>600</v>
      </c>
    </row>
    <row r="7" spans="1:10" x14ac:dyDescent="0.25">
      <c r="C7">
        <f>C1-C4</f>
        <v>9037</v>
      </c>
    </row>
    <row r="9" spans="1:10" x14ac:dyDescent="0.25">
      <c r="A9">
        <f>SUM(A1:A7)</f>
        <v>8766</v>
      </c>
      <c r="J9">
        <f>35215-21098</f>
        <v>14117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bonus</vt:lpstr>
      <vt:lpstr>chi phí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Hieu</dc:creator>
  <cp:lastModifiedBy>hieu.nguyen042</cp:lastModifiedBy>
  <dcterms:created xsi:type="dcterms:W3CDTF">2015-06-05T18:17:20Z</dcterms:created>
  <dcterms:modified xsi:type="dcterms:W3CDTF">2026-09-28T11:32:07Z</dcterms:modified>
</cp:coreProperties>
</file>